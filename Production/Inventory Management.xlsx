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TX" sheetId="2" r:id="rId5"/>
    <sheet state="visible" name="SUMMARY" sheetId="3" r:id="rId6"/>
    <sheet state="visible" name="Runrate" sheetId="4" r:id="rId7"/>
  </sheets>
  <definedNames/>
  <calcPr/>
  <extLst>
    <ext uri="GoogleSheetsCustomDataVersion1">
      <go:sheetsCustomData xmlns:go="http://customooxmlschemas.google.com/" r:id="rId8" roundtripDataSignature="AMtx7mipohLeRbM2uQPnt+dIVz8NJNfJHQ=="/>
    </ext>
  </extLst>
</workbook>
</file>

<file path=xl/sharedStrings.xml><?xml version="1.0" encoding="utf-8"?>
<sst xmlns="http://schemas.openxmlformats.org/spreadsheetml/2006/main" count="74" uniqueCount="50">
  <si>
    <t>Total Received</t>
  </si>
  <si>
    <t>Total backflushed</t>
  </si>
  <si>
    <t>On Hand Stock Predicted</t>
  </si>
  <si>
    <t>OHS LAST COUNT</t>
  </si>
  <si>
    <t>Forward Order</t>
  </si>
  <si>
    <t>FO Outstanding</t>
  </si>
  <si>
    <t>Stock unit = 1 Carton, comprising</t>
  </si>
  <si>
    <t>Shields</t>
  </si>
  <si>
    <t>Item</t>
  </si>
  <si>
    <t>Current spec</t>
  </si>
  <si>
    <t>Quantity / units</t>
  </si>
  <si>
    <t>Shield</t>
  </si>
  <si>
    <t>Carton</t>
  </si>
  <si>
    <t>Backflush / Carton</t>
  </si>
  <si>
    <t>Visor</t>
  </si>
  <si>
    <t>200um PET</t>
  </si>
  <si>
    <t>Elastic</t>
  </si>
  <si>
    <t>White elastic</t>
  </si>
  <si>
    <t>Date Ordered mm/dd</t>
  </si>
  <si>
    <t>Foam</t>
  </si>
  <si>
    <t>White medical grade</t>
  </si>
  <si>
    <t>28x230</t>
  </si>
  <si>
    <t>Staple</t>
  </si>
  <si>
    <t>26/6</t>
  </si>
  <si>
    <t>Our Order Reference</t>
  </si>
  <si>
    <t>Due Date mm/dd</t>
  </si>
  <si>
    <t>ACTUAL Date Delivered mm/dd</t>
  </si>
  <si>
    <t>Product Label</t>
  </si>
  <si>
    <t>Avery L4731</t>
  </si>
  <si>
    <t>Bag</t>
  </si>
  <si>
    <t>300x400 PP</t>
  </si>
  <si>
    <t>We bought for</t>
  </si>
  <si>
    <t>Suttons 300x450x350</t>
  </si>
  <si>
    <t>Form</t>
  </si>
  <si>
    <t>QTY</t>
  </si>
  <si>
    <t>Carton label</t>
  </si>
  <si>
    <t>Q connect 8up 67.5x99</t>
  </si>
  <si>
    <t>Shields per</t>
  </si>
  <si>
    <t>Total shields</t>
  </si>
  <si>
    <t>Tape</t>
  </si>
  <si>
    <t>Brown packing 3", 33m</t>
  </si>
  <si>
    <t>Roll</t>
  </si>
  <si>
    <t>Sheet</t>
  </si>
  <si>
    <t>Box</t>
  </si>
  <si>
    <t>ACTIVITY DATE</t>
  </si>
  <si>
    <t>How many you made</t>
  </si>
  <si>
    <t>1. Production Backflushed</t>
  </si>
  <si>
    <t>What physical stock left at end of day</t>
  </si>
  <si>
    <t>2. Inventory</t>
  </si>
  <si>
    <t>OHS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</si>
</sst>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color rgb="FFFFFF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shrinkToFit="0" vertical="top" wrapText="1"/>
    </xf>
    <xf borderId="0" fillId="0" fontId="2" numFmtId="164" xfId="0" applyFont="1" applyNumberFormat="1"/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2.71"/>
    <col customWidth="1" min="4" max="6" width="14.43"/>
  </cols>
  <sheetData>
    <row r="1" ht="15.75" customHeight="1">
      <c r="A1" s="3" t="s">
        <v>6</v>
      </c>
      <c r="C1" s="3">
        <v>24.0</v>
      </c>
      <c r="D1" s="3" t="s">
        <v>7</v>
      </c>
    </row>
    <row r="2" ht="15.75" customHeight="1"/>
    <row r="3" ht="15.75" customHeight="1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ht="15.75" customHeight="1">
      <c r="D4" s="3"/>
    </row>
    <row r="5" ht="15.75" customHeight="1">
      <c r="B5" s="3" t="s">
        <v>14</v>
      </c>
      <c r="C5" s="3" t="s">
        <v>15</v>
      </c>
      <c r="D5" s="3"/>
      <c r="E5" s="3">
        <v>1.0</v>
      </c>
      <c r="G5" s="3">
        <f t="shared" ref="G5:G10" si="1">E5*$C$1</f>
        <v>24</v>
      </c>
    </row>
    <row r="6" ht="15.75" customHeight="1">
      <c r="B6" s="3" t="s">
        <v>16</v>
      </c>
      <c r="C6" s="3" t="s">
        <v>17</v>
      </c>
      <c r="D6" s="3">
        <v>0.345</v>
      </c>
      <c r="E6" s="3">
        <v>1.0</v>
      </c>
      <c r="G6" s="3">
        <f t="shared" si="1"/>
        <v>24</v>
      </c>
    </row>
    <row r="7" ht="15.75" customHeight="1">
      <c r="B7" s="3" t="s">
        <v>19</v>
      </c>
      <c r="C7" s="3" t="s">
        <v>20</v>
      </c>
      <c r="D7" s="3" t="s">
        <v>21</v>
      </c>
      <c r="E7" s="3">
        <v>1.0</v>
      </c>
      <c r="G7" s="3">
        <f t="shared" si="1"/>
        <v>24</v>
      </c>
    </row>
    <row r="8" ht="15.75" customHeight="1">
      <c r="B8" s="3" t="s">
        <v>22</v>
      </c>
      <c r="C8" s="3" t="s">
        <v>23</v>
      </c>
      <c r="D8" s="3">
        <v>1.0</v>
      </c>
      <c r="E8" s="3">
        <v>2.0</v>
      </c>
      <c r="G8" s="3">
        <f t="shared" si="1"/>
        <v>48</v>
      </c>
    </row>
    <row r="9" ht="15.75" customHeight="1">
      <c r="B9" s="3" t="s">
        <v>27</v>
      </c>
      <c r="C9" s="3" t="s">
        <v>28</v>
      </c>
      <c r="D9" s="3">
        <v>1.0</v>
      </c>
      <c r="E9" s="3">
        <v>2.0</v>
      </c>
      <c r="G9" s="3">
        <f t="shared" si="1"/>
        <v>48</v>
      </c>
    </row>
    <row r="10" ht="15.75" customHeight="1">
      <c r="B10" s="3" t="s">
        <v>29</v>
      </c>
      <c r="C10" s="3" t="s">
        <v>30</v>
      </c>
      <c r="D10" s="3">
        <v>1.0</v>
      </c>
      <c r="E10" s="3">
        <v>1.0</v>
      </c>
      <c r="G10" s="3">
        <f t="shared" si="1"/>
        <v>24</v>
      </c>
    </row>
    <row r="11" ht="15.75" customHeight="1">
      <c r="B11" s="3" t="s">
        <v>12</v>
      </c>
      <c r="C11" s="3" t="s">
        <v>32</v>
      </c>
      <c r="D11" s="3">
        <v>1.0</v>
      </c>
      <c r="F11" s="3">
        <v>1.0</v>
      </c>
      <c r="G11" s="3">
        <v>1.0</v>
      </c>
    </row>
    <row r="12" ht="15.75" customHeight="1">
      <c r="B12" s="3" t="s">
        <v>35</v>
      </c>
      <c r="C12" s="3" t="s">
        <v>36</v>
      </c>
      <c r="D12" s="3">
        <v>1.0</v>
      </c>
      <c r="F12" s="3">
        <v>1.0</v>
      </c>
      <c r="G12" s="3">
        <v>1.0</v>
      </c>
    </row>
    <row r="13" ht="15.75" customHeight="1">
      <c r="B13" s="3" t="s">
        <v>39</v>
      </c>
      <c r="C13" s="3" t="s">
        <v>40</v>
      </c>
      <c r="D13" s="3">
        <v>1.1</v>
      </c>
      <c r="F13" s="3">
        <v>1.0</v>
      </c>
      <c r="G13" s="3">
        <v>1.1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  <col customWidth="1" min="5" max="5" width="18.71"/>
    <col customWidth="1" min="6" max="6" width="14.43"/>
  </cols>
  <sheetData>
    <row r="1" ht="15.75" customHeight="1">
      <c r="A1" s="4" t="s">
        <v>18</v>
      </c>
      <c r="B1" s="4" t="s">
        <v>24</v>
      </c>
      <c r="C1" s="4" t="s">
        <v>25</v>
      </c>
      <c r="D1" s="4" t="s">
        <v>26</v>
      </c>
      <c r="E1" s="4" t="s">
        <v>31</v>
      </c>
      <c r="F1" s="4" t="s">
        <v>33</v>
      </c>
      <c r="G1" s="4" t="s">
        <v>34</v>
      </c>
      <c r="H1" s="4" t="s">
        <v>37</v>
      </c>
      <c r="I1" s="4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5">
        <v>43834.0</v>
      </c>
      <c r="B2" s="5"/>
      <c r="C2" s="5">
        <v>43921.0</v>
      </c>
      <c r="D2" s="5">
        <v>43923.0</v>
      </c>
      <c r="E2" s="3" t="s">
        <v>14</v>
      </c>
      <c r="F2" s="3" t="s">
        <v>41</v>
      </c>
      <c r="G2" s="3">
        <v>100.0</v>
      </c>
      <c r="H2" s="3">
        <v>2.0</v>
      </c>
      <c r="I2" s="3">
        <f t="shared" ref="I2:I12" si="1">H2*G2</f>
        <v>200</v>
      </c>
    </row>
    <row r="3" ht="15.75" customHeight="1">
      <c r="A3" s="5">
        <v>43834.0</v>
      </c>
      <c r="B3" s="5"/>
      <c r="C3" s="5">
        <v>43921.0</v>
      </c>
      <c r="D3" s="5">
        <v>43923.0</v>
      </c>
      <c r="E3" s="3" t="s">
        <v>14</v>
      </c>
      <c r="F3" s="3" t="s">
        <v>42</v>
      </c>
      <c r="G3" s="3">
        <v>100.0</v>
      </c>
      <c r="H3" s="3">
        <v>2.0</v>
      </c>
      <c r="I3" s="3">
        <f t="shared" si="1"/>
        <v>200</v>
      </c>
    </row>
    <row r="4" ht="15.75" customHeight="1">
      <c r="B4" s="3"/>
      <c r="C4" s="3"/>
      <c r="D4" s="3"/>
      <c r="E4" s="3" t="s">
        <v>19</v>
      </c>
      <c r="F4" s="3" t="s">
        <v>42</v>
      </c>
      <c r="G4" s="3">
        <v>1.0</v>
      </c>
      <c r="H4" s="3">
        <v>270.0</v>
      </c>
      <c r="I4" s="3">
        <f t="shared" si="1"/>
        <v>270</v>
      </c>
    </row>
    <row r="5" ht="15.75" customHeight="1">
      <c r="E5" s="3" t="s">
        <v>16</v>
      </c>
      <c r="F5" s="3" t="s">
        <v>41</v>
      </c>
      <c r="I5" s="3">
        <f t="shared" si="1"/>
        <v>0</v>
      </c>
    </row>
    <row r="6" ht="15.75" customHeight="1">
      <c r="E6" s="3" t="s">
        <v>22</v>
      </c>
      <c r="F6" s="3" t="s">
        <v>43</v>
      </c>
      <c r="G6" s="3">
        <v>2000.0</v>
      </c>
      <c r="H6" s="3">
        <v>0.5</v>
      </c>
      <c r="I6" s="3">
        <f t="shared" si="1"/>
        <v>1000</v>
      </c>
    </row>
    <row r="7" ht="15.75" customHeight="1">
      <c r="E7" s="3" t="s">
        <v>27</v>
      </c>
      <c r="F7" s="3" t="s">
        <v>42</v>
      </c>
      <c r="G7" s="3">
        <f>25*189</f>
        <v>4725</v>
      </c>
      <c r="H7" s="3">
        <v>0.5</v>
      </c>
      <c r="I7" s="3">
        <f t="shared" si="1"/>
        <v>2362.5</v>
      </c>
    </row>
    <row r="8" ht="15.75" customHeight="1">
      <c r="E8" s="3" t="s">
        <v>29</v>
      </c>
      <c r="H8" s="3">
        <v>1.0</v>
      </c>
      <c r="I8" s="3">
        <f t="shared" si="1"/>
        <v>0</v>
      </c>
    </row>
    <row r="9" ht="15.75" customHeight="1">
      <c r="E9" s="3" t="s">
        <v>12</v>
      </c>
      <c r="H9" s="3">
        <v>24.0</v>
      </c>
      <c r="I9" s="3">
        <f t="shared" si="1"/>
        <v>0</v>
      </c>
    </row>
    <row r="10" ht="15.75" customHeight="1">
      <c r="E10" s="3" t="s">
        <v>35</v>
      </c>
      <c r="H10" s="3">
        <v>24.0</v>
      </c>
      <c r="I10" s="3">
        <f t="shared" si="1"/>
        <v>0</v>
      </c>
    </row>
    <row r="11" ht="15.75" customHeight="1">
      <c r="E11" s="3" t="s">
        <v>39</v>
      </c>
      <c r="H11" s="3">
        <v>24.0</v>
      </c>
      <c r="I11" s="3">
        <f t="shared" si="1"/>
        <v>0</v>
      </c>
    </row>
    <row r="12" ht="15.75" customHeight="1">
      <c r="E12" s="3" t="s">
        <v>16</v>
      </c>
      <c r="I12" s="3">
        <f t="shared" si="1"/>
        <v>0</v>
      </c>
    </row>
    <row r="13" ht="15.75" customHeight="1">
      <c r="E13" s="3"/>
    </row>
    <row r="14" ht="15.75" customHeight="1">
      <c r="E14" s="3"/>
    </row>
    <row r="15" ht="15.75" customHeight="1">
      <c r="E15" s="3"/>
    </row>
    <row r="16" ht="15.75" customHeight="1">
      <c r="E16" s="3"/>
    </row>
    <row r="17" ht="15.75" customHeight="1">
      <c r="E17" s="3"/>
    </row>
    <row r="18" ht="15.75" customHeight="1">
      <c r="E18" s="3"/>
    </row>
    <row r="19" ht="15.75" customHeight="1">
      <c r="E19" s="3"/>
    </row>
    <row r="20" ht="15.75" customHeight="1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dataValidations>
    <dataValidation type="list" allowBlank="1" sqref="E1:E1000">
      <formula1>BoM!$B$5:$B$13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>
        <f>today()</f>
        <v>43925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B2" s="2" t="str">
        <f>BoM!B5</f>
        <v>Visor</v>
      </c>
      <c r="C2" s="3">
        <f>SUMIFS(TX!$I$2:$I$2000,TX!$D$2:$D$2000,"&lt;&gt;0",TX!$E$2:$E$2000,$B2)</f>
        <v>400</v>
      </c>
      <c r="D2" s="3">
        <f t="array" ref="D2">Runrate!C$3*INDEX(BoM!$B$5:$G$14,MATCH($B2,BoM!$B$5:$B$14,0),6)</f>
        <v>768</v>
      </c>
      <c r="E2" s="3">
        <f t="shared" ref="E2:E12" si="1">C2-D2</f>
        <v>-368</v>
      </c>
      <c r="F2" s="3">
        <f>Runrate!C5</f>
        <v>222</v>
      </c>
      <c r="G2" s="3">
        <f>SUMIFS(TX!$I$2:$I$2000,TX!$D$2:$D$2000,"",TX!$E$2:$E$2000,$B2)</f>
        <v>0</v>
      </c>
      <c r="H2" s="3">
        <f>SUMIFS(TX!$I$2:$I$2000,TX!$D$2:$D$2000,"",TX!$E$2:$E$2000,$B2,TX!$C$2:$C$2000,"&lt;="&amp;$A$1)</f>
        <v>0</v>
      </c>
    </row>
    <row r="3" ht="15.75" customHeight="1">
      <c r="B3" s="2" t="str">
        <f>BoM!B6</f>
        <v>Elastic</v>
      </c>
      <c r="C3" s="3">
        <f>SUMIFS(TX!$I$2:$I$2000,TX!$D$2:$D$2000,"&lt;&gt;0",TX!$E$2:$E$2000,$B3)</f>
        <v>0</v>
      </c>
      <c r="D3" s="3">
        <f t="array" ref="D3">Runrate!C$3*INDEX(BoM!$B$5:$G$14,MATCH($B3,BoM!$B$5:$B$14,0),6)</f>
        <v>768</v>
      </c>
      <c r="E3" s="3">
        <f t="shared" si="1"/>
        <v>-768</v>
      </c>
      <c r="F3" s="3">
        <f>Runrate!C6</f>
        <v>13</v>
      </c>
      <c r="G3" s="3">
        <f>SUMIFS(TX!$I$2:$I$2000,TX!$D$2:$D$2000,"",TX!$E$2:$E$2000,$B3)</f>
        <v>0</v>
      </c>
      <c r="H3" s="3">
        <f>SUMIFS(TX!$I$2:$I$2000,TX!$D$2:$D$2000,"",TX!$E$2:$E$2000,$B3,TX!$C$2:$C$2000,"&lt;="&amp;$A$1)</f>
        <v>0</v>
      </c>
    </row>
    <row r="4" ht="15.75" customHeight="1">
      <c r="B4" s="2" t="str">
        <f>BoM!B7</f>
        <v>Foam</v>
      </c>
      <c r="C4" s="3">
        <f>SUMIFS(TX!$I$2:$I$2000,TX!$D$2:$D$2000,"&lt;&gt;0",TX!$E$2:$E$2000,$B4)</f>
        <v>0</v>
      </c>
      <c r="D4" s="3">
        <f t="array" ref="D4">Runrate!C$3*INDEX(BoM!$B$5:$G$14,MATCH($B4,BoM!$B$5:$B$14,0),6)</f>
        <v>768</v>
      </c>
      <c r="E4" s="3">
        <f t="shared" si="1"/>
        <v>-768</v>
      </c>
      <c r="F4" s="3" t="str">
        <f>Runrate!C7</f>
        <v/>
      </c>
      <c r="G4" s="3">
        <f>SUMIFS(TX!$I$2:$I$2000,TX!$D$2:$D$2000,"",TX!$E$2:$E$2000,$B4)</f>
        <v>270</v>
      </c>
      <c r="H4" s="3">
        <f>SUMIFS(TX!$I$2:$I$2000,TX!$D$2:$D$2000,"",TX!$E$2:$E$2000,$B4,TX!$C$2:$C$2000,"&lt;="&amp;$A$1)</f>
        <v>0</v>
      </c>
    </row>
    <row r="5" ht="15.75" customHeight="1">
      <c r="B5" s="2" t="str">
        <f>BoM!B8</f>
        <v>Staple</v>
      </c>
      <c r="C5" s="3">
        <f>SUMIFS(TX!$I$2:$I$2000,TX!$D$2:$D$2000,"&lt;&gt;0",TX!$E$2:$E$2000,$B5)</f>
        <v>0</v>
      </c>
      <c r="D5" s="3">
        <f t="array" ref="D5">Runrate!C$3*INDEX(BoM!$B$5:$G$14,MATCH($B5,BoM!$B$5:$B$14,0),6)</f>
        <v>1536</v>
      </c>
      <c r="E5" s="3">
        <f t="shared" si="1"/>
        <v>-1536</v>
      </c>
      <c r="F5" s="3" t="str">
        <f>Runrate!C8</f>
        <v/>
      </c>
      <c r="G5" s="3">
        <f>SUMIFS(TX!$I$2:$I$2000,TX!$D$2:$D$2000,"",TX!$E$2:$E$2000,$B5)</f>
        <v>1000</v>
      </c>
      <c r="H5" s="3">
        <f>SUMIFS(TX!$I$2:$I$2000,TX!$D$2:$D$2000,"",TX!$E$2:$E$2000,$B5,TX!$C$2:$C$2000,"&lt;="&amp;$A$1)</f>
        <v>0</v>
      </c>
    </row>
    <row r="6" ht="15.75" customHeight="1">
      <c r="B6" s="2" t="str">
        <f>BoM!B9</f>
        <v>Product Label</v>
      </c>
      <c r="C6" s="3">
        <f>SUMIFS(TX!$I$2:$I$2000,TX!$D$2:$D$2000,"&lt;&gt;0",TX!$E$2:$E$2000,$B6)</f>
        <v>0</v>
      </c>
      <c r="D6" s="3">
        <f t="array" ref="D6">Runrate!C$3*INDEX(BoM!$B$5:$G$14,MATCH($B6,BoM!$B$5:$B$14,0),6)</f>
        <v>1536</v>
      </c>
      <c r="E6" s="3">
        <f t="shared" si="1"/>
        <v>-1536</v>
      </c>
      <c r="F6" s="3" t="str">
        <f>Runrate!C9</f>
        <v/>
      </c>
      <c r="G6" s="3">
        <f>SUMIFS(TX!$I$2:$I$2000,TX!$D$2:$D$2000,"",TX!$E$2:$E$2000,$B6)</f>
        <v>2362.5</v>
      </c>
      <c r="H6" s="3">
        <f>SUMIFS(TX!$I$2:$I$2000,TX!$D$2:$D$2000,"",TX!$E$2:$E$2000,$B6,TX!$C$2:$C$2000,"&lt;="&amp;$A$1)</f>
        <v>0</v>
      </c>
    </row>
    <row r="7" ht="15.75" customHeight="1">
      <c r="B7" s="2" t="str">
        <f>BoM!B10</f>
        <v>Bag</v>
      </c>
      <c r="C7" s="3">
        <f>SUMIFS(TX!$I$2:$I$2000,TX!$D$2:$D$2000,"&lt;&gt;0",TX!$E$2:$E$2000,$B7)</f>
        <v>0</v>
      </c>
      <c r="D7" s="3">
        <f t="array" ref="D7">Runrate!C$3*INDEX(BoM!$B$5:$G$14,MATCH($B7,BoM!$B$5:$B$14,0),6)</f>
        <v>768</v>
      </c>
      <c r="E7" s="3">
        <f t="shared" si="1"/>
        <v>-768</v>
      </c>
      <c r="F7" s="3" t="str">
        <f>Runrate!C10</f>
        <v/>
      </c>
      <c r="G7" s="3">
        <f>SUMIFS(TX!$I$2:$I$2000,TX!$D$2:$D$2000,"",TX!$E$2:$E$2000,$B7)</f>
        <v>0</v>
      </c>
      <c r="H7" s="3">
        <f>SUMIFS(TX!$I$2:$I$2000,TX!$D$2:$D$2000,"",TX!$E$2:$E$2000,$B7,TX!$C$2:$C$2000,"&lt;="&amp;$A$1)</f>
        <v>0</v>
      </c>
    </row>
    <row r="8" ht="15.75" customHeight="1">
      <c r="B8" s="2" t="str">
        <f>BoM!B11</f>
        <v>Carton</v>
      </c>
      <c r="C8" s="3">
        <f>SUMIFS(TX!$I$2:$I$2000,TX!$D$2:$D$2000,"&lt;&gt;0",TX!$E$2:$E$2000,$B8)</f>
        <v>0</v>
      </c>
      <c r="D8" s="3">
        <f t="array" ref="D8">Runrate!C$3*INDEX(BoM!$B$5:$G$14,MATCH($B8,BoM!$B$5:$B$14,0),6)</f>
        <v>32</v>
      </c>
      <c r="E8" s="3">
        <f t="shared" si="1"/>
        <v>-32</v>
      </c>
      <c r="F8" s="3" t="str">
        <f>Runrate!C11</f>
        <v/>
      </c>
      <c r="G8" s="3">
        <f>SUMIFS(TX!$I$2:$I$2000,TX!$D$2:$D$2000,"",TX!$E$2:$E$2000,$B8)</f>
        <v>0</v>
      </c>
      <c r="H8" s="3">
        <f>SUMIFS(TX!$I$2:$I$2000,TX!$D$2:$D$2000,"",TX!$E$2:$E$2000,$B8,TX!$C$2:$C$2000,"&lt;="&amp;$A$1)</f>
        <v>0</v>
      </c>
    </row>
    <row r="9" ht="15.75" customHeight="1">
      <c r="B9" s="2" t="str">
        <f>BoM!B12</f>
        <v>Carton label</v>
      </c>
      <c r="C9" s="3">
        <f>SUMIFS(TX!$I$2:$I$2000,TX!$D$2:$D$2000,"&lt;&gt;0",TX!$E$2:$E$2000,$B9)</f>
        <v>0</v>
      </c>
      <c r="D9" s="3">
        <f t="array" ref="D9">Runrate!C$3*INDEX(BoM!$B$5:$G$14,MATCH($B9,BoM!$B$5:$B$14,0),6)</f>
        <v>32</v>
      </c>
      <c r="E9" s="3">
        <f t="shared" si="1"/>
        <v>-32</v>
      </c>
      <c r="F9" s="3" t="str">
        <f>Runrate!C12</f>
        <v/>
      </c>
      <c r="G9" s="3">
        <f>SUMIFS(TX!$I$2:$I$2000,TX!$D$2:$D$2000,"",TX!$E$2:$E$2000,$B9)</f>
        <v>0</v>
      </c>
      <c r="H9" s="3">
        <f>SUMIFS(TX!$I$2:$I$2000,TX!$D$2:$D$2000,"",TX!$E$2:$E$2000,$B9,TX!$C$2:$C$2000,"&lt;="&amp;$A$1)</f>
        <v>0</v>
      </c>
    </row>
    <row r="10" ht="15.75" customHeight="1">
      <c r="B10" s="2" t="str">
        <f>BoM!B13</f>
        <v>Tape</v>
      </c>
      <c r="C10" s="3">
        <f>SUMIFS(TX!$I$2:$I$2000,TX!$D$2:$D$2000,"&lt;&gt;0",TX!$E$2:$E$2000,$B10)</f>
        <v>0</v>
      </c>
      <c r="D10" s="3">
        <f t="array" ref="D10">Runrate!C$3*INDEX(BoM!$B$5:$G$14,MATCH($B10,BoM!$B$5:$B$14,0),6)</f>
        <v>35.2</v>
      </c>
      <c r="E10" s="3">
        <f t="shared" si="1"/>
        <v>-35.2</v>
      </c>
      <c r="F10" s="3" t="str">
        <f>Runrate!C13</f>
        <v/>
      </c>
      <c r="G10" s="3">
        <f>SUMIFS(TX!$I$2:$I$2000,TX!$D$2:$D$2000,"",TX!$E$2:$E$2000,$B10)</f>
        <v>0</v>
      </c>
      <c r="H10" s="3">
        <f>SUMIFS(TX!$I$2:$I$2000,TX!$D$2:$D$2000,"",TX!$E$2:$E$2000,$B10,TX!$C$2:$C$2000,"&lt;="&amp;$A$1)</f>
        <v>0</v>
      </c>
    </row>
    <row r="11" ht="15.75" customHeight="1">
      <c r="B11" s="2" t="str">
        <f>BoM!B14</f>
        <v/>
      </c>
      <c r="C11" s="3">
        <f>SUMIFS(TX!$I$2:$I$2000,TX!$D$2:$D$2000,"&lt;&gt;0",TX!$E$2:$E$2000,$B11)</f>
        <v>0</v>
      </c>
      <c r="D11" s="3" t="str">
        <f t="array" ref="D11">Runrate!C$3*INDEX(BoM!$B$5:$G$14,MATCH($B11,BoM!$B$5:$B$14,0),6)</f>
        <v>#N/A</v>
      </c>
      <c r="E11" s="3" t="str">
        <f t="shared" si="1"/>
        <v>#N/A</v>
      </c>
      <c r="F11" s="3" t="str">
        <f>Runrate!C14</f>
        <v/>
      </c>
      <c r="G11" s="3">
        <f>SUMIFS(TX!$I$2:$I$2000,TX!$D$2:$D$2000,"",TX!$E$2:$E$2000,$B11)</f>
        <v>0</v>
      </c>
      <c r="H11" s="3">
        <f>SUMIFS(TX!$I$2:$I$2000,TX!$D$2:$D$2000,"",TX!$E$2:$E$2000,$B11,TX!$C$2:$C$2000,"&lt;="&amp;$A$1)</f>
        <v>0</v>
      </c>
    </row>
    <row r="12" ht="15.75" customHeight="1">
      <c r="B12" s="2"/>
      <c r="C12" s="3">
        <f>SUMIFS(TX!$I$2:$I$2000,TX!$D$2:$D$2000,"&lt;&gt;0",TX!$E$2:$E$2000,$B12)</f>
        <v>0</v>
      </c>
      <c r="D12" s="3" t="str">
        <f t="array" ref="D12">Runrate!C$3*INDEX(BoM!$B$5:$G$14,MATCH($B12,BoM!$B$5:$B$14,0),6)</f>
        <v>#N/A</v>
      </c>
      <c r="E12" s="3" t="str">
        <f t="shared" si="1"/>
        <v>#N/A</v>
      </c>
      <c r="F12" s="3" t="str">
        <f>Runrate!C15</f>
        <v/>
      </c>
      <c r="G12" s="3">
        <f>SUMIFS(TX!$I$2:$I$2000,TX!$D$2:$D$2000,"",TX!$E$2:$E$2000,$B12)</f>
        <v>0</v>
      </c>
      <c r="H12" s="3">
        <f>SUMIFS(TX!$I$2:$I$2000,TX!$D$2:$D$2000,"",TX!$E$2:$E$2000,$B12,TX!$C$2:$C$2000,"&lt;="&amp;$A$1)</f>
        <v>0</v>
      </c>
    </row>
    <row r="13" ht="15.75" customHeight="1">
      <c r="B13" s="2"/>
    </row>
    <row r="14" ht="15.75" customHeight="1">
      <c r="B14" s="2"/>
    </row>
    <row r="15" ht="15.75" customHeight="1">
      <c r="B15" s="2"/>
    </row>
    <row r="16" ht="15.75" customHeight="1">
      <c r="B16" s="2"/>
    </row>
    <row r="17" ht="15.75" customHeight="1">
      <c r="B17" s="2"/>
    </row>
    <row r="18" ht="15.75" customHeight="1">
      <c r="B18" s="2"/>
    </row>
    <row r="19" ht="15.75" customHeight="1">
      <c r="B19" s="2"/>
    </row>
    <row r="20" ht="15.75" customHeight="1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4.43"/>
    <col customWidth="1" min="2" max="2" width="18.14"/>
    <col customWidth="1" min="3" max="3" width="14.86"/>
    <col customWidth="1" min="4" max="6" width="14.43"/>
  </cols>
  <sheetData>
    <row r="1" ht="15.75" customHeight="1">
      <c r="B1" s="2"/>
      <c r="C1" s="3"/>
      <c r="D1" s="5"/>
      <c r="E1" s="5"/>
      <c r="F1" s="5"/>
      <c r="G1" s="5"/>
    </row>
    <row r="2" ht="15.75" customHeight="1">
      <c r="B2" s="2"/>
      <c r="C2" s="2" t="s">
        <v>44</v>
      </c>
      <c r="D2" s="5">
        <v>43923.0</v>
      </c>
      <c r="E2" s="5">
        <v>43924.0</v>
      </c>
      <c r="F2" s="5">
        <v>43925.0</v>
      </c>
      <c r="G2" s="5">
        <v>43926.0</v>
      </c>
      <c r="H2" s="5">
        <v>43927.0</v>
      </c>
    </row>
    <row r="3" ht="15.75" customHeight="1">
      <c r="A3" s="3" t="s">
        <v>45</v>
      </c>
      <c r="B3" s="2" t="s">
        <v>46</v>
      </c>
      <c r="C3" s="3">
        <f>sum(D3:G3)</f>
        <v>32</v>
      </c>
      <c r="D3" s="6">
        <v>32.0</v>
      </c>
      <c r="E3" s="6"/>
      <c r="F3" s="6"/>
      <c r="G3" s="6"/>
      <c r="H3" s="6"/>
    </row>
    <row r="4" ht="15.75" customHeight="1">
      <c r="A4" s="3" t="s">
        <v>47</v>
      </c>
      <c r="B4" s="2" t="s">
        <v>48</v>
      </c>
      <c r="C4" s="2" t="s">
        <v>49</v>
      </c>
      <c r="D4" s="3" t="str">
        <f t="shared" ref="D4:H4" si="1">if(and(sum(E$5:$ZZ5)=0,sum(D5:D14)&lt;&gt;0),"LAST COUNT","")</f>
        <v>LAST COUNT</v>
      </c>
      <c r="E4" s="3" t="str">
        <f t="shared" si="1"/>
        <v/>
      </c>
      <c r="F4" s="3" t="str">
        <f t="shared" si="1"/>
        <v/>
      </c>
      <c r="G4" s="3" t="str">
        <f t="shared" si="1"/>
        <v/>
      </c>
      <c r="H4" s="3" t="str">
        <f t="shared" si="1"/>
        <v/>
      </c>
    </row>
    <row r="5" ht="15.75" customHeight="1">
      <c r="B5" s="3" t="s">
        <v>14</v>
      </c>
      <c r="C5" s="3">
        <f t="shared" ref="C5:C13" si="2">index($D$4:ZZ14,row(B5)-3,match("LAST COUNT", $D$4:$ZZ$4,0))</f>
        <v>222</v>
      </c>
      <c r="D5" s="6">
        <v>222.0</v>
      </c>
      <c r="E5" s="6"/>
      <c r="F5" s="6"/>
      <c r="G5" s="6"/>
      <c r="H5" s="6"/>
    </row>
    <row r="6" ht="15.75" customHeight="1">
      <c r="B6" s="3" t="s">
        <v>16</v>
      </c>
      <c r="C6" s="3">
        <f t="shared" si="2"/>
        <v>13</v>
      </c>
      <c r="D6" s="6">
        <v>13.0</v>
      </c>
      <c r="E6" s="6"/>
      <c r="F6" s="6"/>
      <c r="G6" s="6"/>
      <c r="H6" s="6"/>
    </row>
    <row r="7" ht="15.75" customHeight="1">
      <c r="B7" s="3" t="s">
        <v>19</v>
      </c>
      <c r="C7" s="3" t="str">
        <f t="shared" si="2"/>
        <v/>
      </c>
      <c r="D7" s="6"/>
      <c r="E7" s="6"/>
      <c r="F7" s="6"/>
      <c r="G7" s="6"/>
      <c r="H7" s="6"/>
    </row>
    <row r="8" ht="15.75" customHeight="1">
      <c r="B8" s="3" t="s">
        <v>22</v>
      </c>
      <c r="C8" s="3" t="str">
        <f t="shared" si="2"/>
        <v/>
      </c>
      <c r="D8" s="6"/>
      <c r="E8" s="6"/>
      <c r="F8" s="6"/>
      <c r="G8" s="6"/>
      <c r="H8" s="6"/>
    </row>
    <row r="9" ht="15.75" customHeight="1">
      <c r="B9" s="3" t="s">
        <v>27</v>
      </c>
      <c r="C9" s="3" t="str">
        <f t="shared" si="2"/>
        <v/>
      </c>
      <c r="D9" s="6"/>
      <c r="E9" s="6"/>
      <c r="F9" s="6"/>
      <c r="G9" s="6"/>
      <c r="H9" s="6"/>
    </row>
    <row r="10" ht="15.75" customHeight="1">
      <c r="B10" s="3" t="s">
        <v>29</v>
      </c>
      <c r="C10" s="3" t="str">
        <f t="shared" si="2"/>
        <v/>
      </c>
      <c r="D10" s="6"/>
      <c r="E10" s="6"/>
      <c r="F10" s="6"/>
      <c r="G10" s="6"/>
      <c r="H10" s="6"/>
    </row>
    <row r="11" ht="15.75" customHeight="1">
      <c r="B11" s="3" t="s">
        <v>12</v>
      </c>
      <c r="C11" s="3" t="str">
        <f t="shared" si="2"/>
        <v/>
      </c>
      <c r="D11" s="6"/>
      <c r="E11" s="6"/>
      <c r="F11" s="6"/>
      <c r="G11" s="6"/>
      <c r="H11" s="6"/>
    </row>
    <row r="12" ht="15.75" customHeight="1">
      <c r="B12" s="3" t="s">
        <v>35</v>
      </c>
      <c r="C12" s="3" t="str">
        <f t="shared" si="2"/>
        <v/>
      </c>
      <c r="D12" s="6"/>
      <c r="E12" s="6"/>
      <c r="F12" s="6"/>
      <c r="G12" s="6"/>
      <c r="H12" s="6"/>
    </row>
    <row r="13" ht="15.75" customHeight="1">
      <c r="B13" s="3" t="s">
        <v>39</v>
      </c>
      <c r="C13" s="3" t="str">
        <f t="shared" si="2"/>
        <v/>
      </c>
      <c r="D13" s="6"/>
      <c r="E13" s="6"/>
      <c r="F13" s="6"/>
      <c r="G13" s="6"/>
      <c r="H13" s="6"/>
    </row>
    <row r="14" ht="15.75" customHeight="1">
      <c r="D14" s="6"/>
      <c r="E14" s="6"/>
      <c r="F14" s="6"/>
      <c r="G14" s="6"/>
      <c r="H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