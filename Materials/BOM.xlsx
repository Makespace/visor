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Stock &amp; Order List" sheetId="1" r:id="rId4"/>
  </sheets>
  <definedNames/>
  <calcPr/>
  <extLst>
    <ext uri="GoogleSheetsCustomDataVersion1">
      <go:sheetsCustomData xmlns:go="http://customooxmlschemas.google.com/" r:id="rId5" roundtripDataSignature="AMtx7mhkoCNN5LAagl/s/OmSDP8gffj2PA=="/>
    </ext>
  </extLst>
</workbook>
</file>

<file path=xl/sharedStrings.xml><?xml version="1.0" encoding="utf-8"?>
<sst xmlns="http://schemas.openxmlformats.org/spreadsheetml/2006/main" count="110" uniqueCount="99">
  <si>
    <t>Material</t>
  </si>
  <si>
    <t xml:space="preserve">Thickness/width (mm) </t>
  </si>
  <si>
    <t>Size (mm) each</t>
  </si>
  <si>
    <t>Notes</t>
  </si>
  <si>
    <t>Suppliers / status / risk</t>
  </si>
  <si>
    <t>Order Status</t>
  </si>
  <si>
    <t>Example Link</t>
  </si>
  <si>
    <t>Cost</t>
  </si>
  <si>
    <t>1K cost</t>
  </si>
  <si>
    <t>2K cost</t>
  </si>
  <si>
    <t>PLASTIC</t>
  </si>
  <si>
    <t>PET</t>
  </si>
  <si>
    <t xml:space="preserve"> 330x230</t>
  </si>
  <si>
    <t>0.1-0.5 closer to 0.18mm the better), at least 330x230mm</t>
  </si>
  <si>
    <t>ELASTIC</t>
  </si>
  <si>
    <t>Roll of elastic</t>
  </si>
  <si>
    <t>0.345metres</t>
  </si>
  <si>
    <t>Latex free difficult to source - best to check with suppliers</t>
  </si>
  <si>
    <t>https://www.amazon.co.uk/dp/B079TMHSZP/ref=pe_3187911_189395841_TE_3p_dp_1?pldnSite=1</t>
  </si>
  <si>
    <t>Donated but worth £10.89</t>
  </si>
  <si>
    <t>FOAM - PU adhesive backed</t>
  </si>
  <si>
    <t>PU Foam</t>
  </si>
  <si>
    <t>25x25mm</t>
  </si>
  <si>
    <t xml:space="preserve"> ~30kgs/m^3</t>
  </si>
  <si>
    <t>https://www.efoam.co.uk/acoustic-soundproofing-foam.php</t>
  </si>
  <si>
    <t>£185 for 3 x 100 cm x 200 cm sheet plus ~120 delivery</t>
  </si>
  <si>
    <t>Plastic packaging</t>
  </si>
  <si>
    <t>Plastic bags to wrap finished PPE</t>
  </si>
  <si>
    <t>305mm x 406mm self sealing 1100 on order</t>
  </si>
  <si>
    <t>https://www.amazon.co.uk/gp/product/B01AQO7PRU/ref=ppx_yo_dt_b_asin_title_o00_s00?ie=UTF8&amp;psc=1</t>
  </si>
  <si>
    <t>£6.67 / 100</t>
  </si>
  <si>
    <t>OTHER</t>
  </si>
  <si>
    <t>Staples</t>
  </si>
  <si>
    <t>26/6</t>
  </si>
  <si>
    <t>2 per</t>
  </si>
  <si>
    <t>Standard Rapid 26/6 - stationary weight staples</t>
  </si>
  <si>
    <t>https://www.amazon.co.uk/gp/product/B004VUV8ZQ/ref=ppx_yo_dt_b_asin_title_o02_s00?ie=UTF8&amp;psc=1</t>
  </si>
  <si>
    <t>£1.63 / 5000</t>
  </si>
  <si>
    <t xml:space="preserve">Boxes for shipment to Hospital </t>
  </si>
  <si>
    <t>they sit flat, so 330x230x26mm each, though could nest to be 330x230x13 average</t>
  </si>
  <si>
    <t>Packing tape</t>
  </si>
  <si>
    <t>1m</t>
  </si>
  <si>
    <t>6 x 65m x 50mm clear packing tape</t>
  </si>
  <si>
    <t>https://www.amazon.co.uk/gp/product/B01ABXS3ZO/ref=ppx_yo_dt_b_asin_title_o02_s00?ie=UTF8&amp;psc=1</t>
  </si>
  <si>
    <t>£6.07 / 360m</t>
  </si>
  <si>
    <t>Labels</t>
  </si>
  <si>
    <t>Anitfog</t>
  </si>
  <si>
    <t>https://www.amazon.co.uk/Cressi-Anti-Fog-Spray-60-ML/dp/B004TRQAEU</t>
  </si>
  <si>
    <t>£7.98 / 2 bottles</t>
  </si>
  <si>
    <t>Disinfectant</t>
  </si>
  <si>
    <t>Bleach</t>
  </si>
  <si>
    <t>1 bottle</t>
  </si>
  <si>
    <t>1 litre</t>
  </si>
  <si>
    <t xml:space="preserve">Domestos - donated </t>
  </si>
  <si>
    <t>https://www.epa.gov/pesticide-registration/list-n-disinfectants-use-against-sars-cov-2</t>
  </si>
  <si>
    <t xml:space="preserve">£1 per bottle? </t>
  </si>
  <si>
    <t>Cleaner</t>
  </si>
  <si>
    <t>Multipurpose Cleaner</t>
  </si>
  <si>
    <t>5 litre</t>
  </si>
  <si>
    <t>5 Star Multi Purpose Cleaner 5 Litre</t>
  </si>
  <si>
    <t>https://www.amazon.co.uk/gp/product/B00PFT0MZ4/ref=ppx_yo_dt_b_asin_title_o08_s00?ie=UTF8&amp;psc=1</t>
  </si>
  <si>
    <t>£5.62</t>
  </si>
  <si>
    <t>Cleaning Cloths</t>
  </si>
  <si>
    <t>Center feed cloths</t>
  </si>
  <si>
    <t>2 rolls</t>
  </si>
  <si>
    <t>350 sheet</t>
  </si>
  <si>
    <t>https://www.amazon.co.uk/gp/product/B00BTHABGG/ref=ppx_yo_dt_b_asin_title_o06_s00?ie=UTF8&amp;psc=1</t>
  </si>
  <si>
    <t>£30.78/2 rolls</t>
  </si>
  <si>
    <t>gloves</t>
  </si>
  <si>
    <t>visors</t>
  </si>
  <si>
    <t>masks</t>
  </si>
  <si>
    <t>£40/50</t>
  </si>
  <si>
    <t>overalls</t>
  </si>
  <si>
    <t>£5 each</t>
  </si>
  <si>
    <t>Reference:</t>
  </si>
  <si>
    <t>https://discourse.southlondonmakerspace.org/t/3d-printing-laser-cutting-medical-face-shields-may-become-a-thing-imminently-lets-be-ready/16736/9?u=dermot</t>
  </si>
  <si>
    <t>https://www.delve.com/assets/documents/Open-Source-Face-Shield-Drawing.pdf</t>
  </si>
  <si>
    <t xml:space="preserve">Clear Shield </t>
  </si>
  <si>
    <t>Elastic Headband</t>
  </si>
  <si>
    <t>Brow Foam</t>
  </si>
  <si>
    <t>Plastic Bag</t>
  </si>
  <si>
    <t>Label</t>
  </si>
  <si>
    <t>Shipping Box</t>
  </si>
  <si>
    <t>Batch sheet</t>
  </si>
  <si>
    <t>Shipping label</t>
  </si>
  <si>
    <t>Full cost - assumes costs of all material purchased and 1K shields manufactured</t>
  </si>
  <si>
    <t>2K visor costs</t>
  </si>
  <si>
    <t>Full cost - assumes costs of all material purchased and 2K shields manufactured</t>
  </si>
  <si>
    <t>Manufacturing Materials</t>
  </si>
  <si>
    <t>Gloves</t>
  </si>
  <si>
    <t>Masks</t>
  </si>
  <si>
    <t>Overalls</t>
  </si>
  <si>
    <t>Cleaning materials</t>
  </si>
  <si>
    <t>Disinfecting materials</t>
  </si>
  <si>
    <t>Cleaning cloths</t>
  </si>
  <si>
    <t>Sundries (Ducktape etc)</t>
  </si>
  <si>
    <t>Nominal cost - assumes material used up to make 1K or 2K shields</t>
  </si>
  <si>
    <t>Cost per shield for 1K shields</t>
  </si>
  <si>
    <t>Cost per shield for 2K shields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</si>
</sst>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[$£]#,##0.00"/>
  </numFmts>
  <fonts count="12">
    <font>
      <sz val="10.0"/>
      <color rgb="FF000000"/>
      <name val="Arial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/>
    <font>
      <sz val="11.0"/>
      <color rgb="FF1155CC"/>
      <name val="Inconsolata"/>
    </font>
    <font>
      <u/>
      <color rgb="FF0000FF"/>
    </font>
    <font>
      <u/>
      <color rgb="FF0000FF"/>
    </font>
    <font>
      <u/>
      <color rgb="FF0066C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vertical="top"/>
    </xf>
    <xf borderId="0" fillId="2" fontId="3" numFmtId="0" xfId="0" applyAlignment="1" applyFill="1" applyFont="1">
      <alignment horizontal="left" vertical="top"/>
    </xf>
    <xf borderId="0" fillId="2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vertical="top" wrapText="1"/>
    </xf>
    <xf borderId="0" fillId="3" fontId="3" numFmtId="0" xfId="0" applyAlignment="1" applyFill="1" applyFont="1">
      <alignment horizontal="left" vertical="top"/>
    </xf>
    <xf borderId="0" fillId="0" fontId="4" numFmtId="0" xfId="0" applyAlignment="1" applyFont="1">
      <alignment horizontal="left" readingOrder="0" vertical="top"/>
    </xf>
    <xf borderId="0" fillId="0" fontId="3" numFmtId="0" xfId="0" applyAlignment="1" applyFont="1">
      <alignment horizontal="left" shrinkToFit="0" vertical="top" wrapText="1"/>
    </xf>
    <xf borderId="0" fillId="0" fontId="5" numFmtId="0" xfId="0" applyFont="1"/>
    <xf borderId="0" fillId="0" fontId="6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shrinkToFit="0" vertical="top" wrapText="1"/>
    </xf>
    <xf borderId="0" fillId="4" fontId="8" numFmtId="0" xfId="0" applyFill="1" applyFont="1"/>
    <xf borderId="0" fillId="0" fontId="4" numFmtId="164" xfId="0" applyAlignment="1" applyFont="1" applyNumberFormat="1">
      <alignment horizontal="left" readingOrder="0" vertical="top"/>
    </xf>
    <xf borderId="0" fillId="0" fontId="9" numFmtId="0" xfId="0" applyAlignment="1" applyFont="1">
      <alignment horizontal="left" vertical="top"/>
    </xf>
    <xf borderId="0" fillId="5" fontId="10" numFmtId="0" xfId="0" applyAlignment="1" applyFill="1" applyFont="1">
      <alignment horizontal="left" vertical="top"/>
    </xf>
    <xf borderId="0" fillId="5" fontId="3" numFmtId="0" xfId="0" applyAlignment="1" applyFont="1">
      <alignment horizontal="left" vertical="top"/>
    </xf>
    <xf borderId="0" fillId="4" fontId="11" numFmtId="0" xfId="0" applyFont="1"/>
    <xf borderId="0" fillId="5" fontId="3" numFmtId="0" xfId="0" applyAlignment="1" applyFont="1">
      <alignment horizontal="left" shrinkToFit="0" vertical="top" wrapText="1"/>
    </xf>
    <xf borderId="0" fillId="2" fontId="4" numFmtId="0" xfId="0" applyAlignment="1" applyFont="1">
      <alignment horizontal="left" readingOrder="0" vertical="top"/>
    </xf>
    <xf borderId="0" fillId="0" fontId="3" numFmtId="165" xfId="0" applyFont="1" applyNumberFormat="1"/>
    <xf borderId="0" fillId="0" fontId="3" numFmtId="0" xfId="0" applyAlignment="1" applyFont="1">
      <alignment horizontal="right" vertical="top"/>
    </xf>
    <xf borderId="0" fillId="0" fontId="3" numFmtId="164" xfId="0" applyAlignment="1" applyFont="1" applyNumberFormat="1">
      <alignment horizontal="left" vertical="top"/>
    </xf>
    <xf borderId="2" fillId="0" fontId="3" numFmtId="165" xfId="0" applyAlignment="1" applyBorder="1" applyFont="1" applyNumberFormat="1">
      <alignment horizontal="right" vertical="top"/>
    </xf>
    <xf borderId="0" fillId="0" fontId="1" numFmtId="0" xfId="0" applyAlignment="1" applyFont="1">
      <alignment horizontal="left" vertical="top"/>
    </xf>
    <xf borderId="0" fillId="0" fontId="3" numFmtId="165" xfId="0" applyAlignment="1" applyFont="1" applyNumberFormat="1">
      <alignment horizontal="right" vertical="top"/>
    </xf>
    <xf borderId="0" fillId="0" fontId="3" numFmtId="165" xfId="0" applyAlignment="1" applyFont="1" applyNumberFormat="1">
      <alignment horizontal="left" vertical="top"/>
    </xf>
    <xf borderId="2" fillId="0" fontId="3" numFmtId="165" xfId="0" applyAlignment="1" applyBorder="1" applyFont="1" applyNumberFormat="1">
      <alignment horizontal="left" vertical="top"/>
    </xf>
    <xf borderId="4" fillId="0" fontId="3" numFmtId="165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iscourse.southlondonmakerspace.org/t/3d-printing-laser-cutting-medical-face-shields-may-become-a-thing-imminently-lets-be-ready/16736/9?u=dermot" TargetMode="External"/><Relationship Id="rId10" Type="http://schemas.openxmlformats.org/officeDocument/2006/relationships/hyperlink" Target="https://www.amazon.co.uk/gp/product/B00BTHABGG/ref=ppx_yo_dt_b_asin_title_o06_s00?ie=UTF8&amp;psc=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elve.com/assets/documents/Open-Source-Face-Shield-Drawing.pdf" TargetMode="External"/><Relationship Id="rId1" Type="http://schemas.openxmlformats.org/officeDocument/2006/relationships/hyperlink" Target="https://www.amazon.co.uk/dp/B079TMHSZP/ref=pe_3187911_189395841_TE_3p_dp_1?pldnSite=1" TargetMode="External"/><Relationship Id="rId2" Type="http://schemas.openxmlformats.org/officeDocument/2006/relationships/hyperlink" Target="https://www.efoam.co.uk/acoustic-soundproofing-foam.php" TargetMode="External"/><Relationship Id="rId3" Type="http://schemas.openxmlformats.org/officeDocument/2006/relationships/hyperlink" Target="https://www.amazon.co.uk/gp/product/B01AQO7PRU/ref=ppx_yo_dt_b_asin_title_o00_s00?ie=UTF8&amp;psc=1" TargetMode="External"/><Relationship Id="rId4" Type="http://schemas.openxmlformats.org/officeDocument/2006/relationships/hyperlink" Target="https://www.amazon.co.uk/gp/product/B004VUV8ZQ/ref=ppx_yo_dt_b_asin_title_o02_s00?ie=UTF8&amp;psc=1" TargetMode="External"/><Relationship Id="rId9" Type="http://schemas.openxmlformats.org/officeDocument/2006/relationships/hyperlink" Target="https://www.amazon.co.uk/gp/product/B00PFT0MZ4/ref=ppx_yo_dt_b_asin_title_o08_s00?ie=UTF8&amp;psc=1" TargetMode="External"/><Relationship Id="rId5" Type="http://schemas.openxmlformats.org/officeDocument/2006/relationships/hyperlink" Target="https://www.amazon.co.uk/gp/product/B01ABXS3ZO/ref=ppx_yo_dt_b_asin_title_o02_s00?ie=UTF8&amp;psc=1" TargetMode="External"/><Relationship Id="rId6" Type="http://schemas.openxmlformats.org/officeDocument/2006/relationships/hyperlink" Target="https://www.amazon.co.uk/Cressi-Anti-Fog-Spray-60-ML/dp/B004TRQAEU" TargetMode="External"/><Relationship Id="rId7" Type="http://schemas.openxmlformats.org/officeDocument/2006/relationships/hyperlink" Target="https://www.epa.gov/pesticide-registration/list-n-disinfectants-use-against-sars-cov-2" TargetMode="External"/><Relationship Id="rId8" Type="http://schemas.openxmlformats.org/officeDocument/2006/relationships/hyperlink" Target="https://www.amazon.co.uk/gp/product/B00PFT0MZ4/ref=ppx_yo_dt_b_asin_title_o08_s00?ie=UTF8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8.29"/>
    <col customWidth="1" min="3" max="3" width="14.43"/>
    <col customWidth="1" min="4" max="4" width="69.29"/>
    <col customWidth="1" min="5" max="5" width="16.43"/>
    <col customWidth="1" min="6" max="6" width="9.29"/>
    <col customWidth="1" min="7" max="7" width="26.8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2"/>
      <c r="J1" s="2"/>
      <c r="K1" s="2" t="s">
        <v>8</v>
      </c>
      <c r="L1" s="2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5"/>
    </row>
    <row r="2" ht="15.75" customHeight="1">
      <c r="A2" s="6" t="s">
        <v>10</v>
      </c>
      <c r="B2" s="6"/>
      <c r="C2" s="6"/>
      <c r="D2" s="7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8" t="s">
        <v>11</v>
      </c>
      <c r="B3" s="8">
        <v>0.18</v>
      </c>
      <c r="C3" s="8" t="s">
        <v>12</v>
      </c>
      <c r="D3" s="9" t="s">
        <v>13</v>
      </c>
      <c r="E3" s="9"/>
      <c r="F3" s="10"/>
      <c r="G3" s="10"/>
      <c r="H3" s="10"/>
      <c r="I3" s="8"/>
      <c r="J3" s="8"/>
      <c r="K3" s="11">
        <v>0.76</v>
      </c>
      <c r="L3" s="11">
        <v>0.38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6" t="s">
        <v>14</v>
      </c>
      <c r="B4" s="6"/>
      <c r="C4" s="6"/>
      <c r="D4" s="7"/>
      <c r="E4" s="7"/>
      <c r="F4" s="6"/>
      <c r="G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8" t="s">
        <v>15</v>
      </c>
      <c r="B5" s="8">
        <v>25.0</v>
      </c>
      <c r="C5" s="11" t="s">
        <v>16</v>
      </c>
      <c r="D5" s="9" t="s">
        <v>17</v>
      </c>
      <c r="E5" s="12"/>
      <c r="F5" s="8"/>
      <c r="G5" s="13" t="s">
        <v>18</v>
      </c>
      <c r="H5" s="8" t="s">
        <v>19</v>
      </c>
      <c r="I5" s="8"/>
      <c r="J5" s="8"/>
      <c r="K5" s="8">
        <f>75/300</f>
        <v>0.25</v>
      </c>
      <c r="L5" s="8">
        <f>K5</f>
        <v>0.25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 t="s">
        <v>20</v>
      </c>
      <c r="B6" s="6"/>
      <c r="C6" s="6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8" t="s">
        <v>21</v>
      </c>
      <c r="B7" s="11" t="s">
        <v>22</v>
      </c>
      <c r="C7" s="8">
        <v>225.0</v>
      </c>
      <c r="D7" s="12" t="s">
        <v>23</v>
      </c>
      <c r="E7" s="12"/>
      <c r="F7" s="10"/>
      <c r="G7" s="14" t="s">
        <v>24</v>
      </c>
      <c r="H7" s="15" t="s">
        <v>25</v>
      </c>
      <c r="I7" s="8"/>
      <c r="J7" s="8"/>
      <c r="K7" s="16">
        <f>205/1000</f>
        <v>0.205</v>
      </c>
      <c r="L7" s="8">
        <f>K7</f>
        <v>0.205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6" t="s">
        <v>26</v>
      </c>
      <c r="B8" s="6"/>
      <c r="C8" s="6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8" t="s">
        <v>27</v>
      </c>
      <c r="B9" s="8"/>
      <c r="C9" s="8"/>
      <c r="D9" s="12" t="s">
        <v>28</v>
      </c>
      <c r="E9" s="12"/>
      <c r="F9" s="8"/>
      <c r="G9" s="13" t="s">
        <v>29</v>
      </c>
      <c r="H9" s="8" t="s">
        <v>30</v>
      </c>
      <c r="I9" s="8">
        <f>6.67*1100/100</f>
        <v>73.37</v>
      </c>
      <c r="J9" s="8"/>
      <c r="K9" s="8">
        <f>(sum(H9)+(6.67/100*1000))/1000</f>
        <v>0.0667</v>
      </c>
      <c r="L9" s="8">
        <f>(sum(I9)+(6.67/100*2000))/2000</f>
        <v>0.103385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6" t="s">
        <v>31</v>
      </c>
      <c r="B10" s="6"/>
      <c r="C10" s="6"/>
      <c r="D10" s="7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8" t="s">
        <v>32</v>
      </c>
      <c r="B11" s="8" t="s">
        <v>33</v>
      </c>
      <c r="C11" s="8" t="s">
        <v>34</v>
      </c>
      <c r="D11" s="12" t="s">
        <v>35</v>
      </c>
      <c r="E11" s="12"/>
      <c r="F11" s="8"/>
      <c r="G11" s="13" t="s">
        <v>36</v>
      </c>
      <c r="H11" s="8" t="s">
        <v>37</v>
      </c>
      <c r="I11" s="8"/>
      <c r="J11" s="8"/>
      <c r="K11" s="8">
        <f>(1.63+2.57)/1000</f>
        <v>0.0042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38</v>
      </c>
      <c r="B12" s="8"/>
      <c r="C12" s="17">
        <v>43854.0</v>
      </c>
      <c r="D12" s="12" t="s">
        <v>39</v>
      </c>
      <c r="E12" s="1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40</v>
      </c>
      <c r="B13" s="8"/>
      <c r="C13" s="11" t="s">
        <v>41</v>
      </c>
      <c r="D13" s="12" t="s">
        <v>42</v>
      </c>
      <c r="E13" s="12"/>
      <c r="F13" s="8"/>
      <c r="G13" s="13" t="s">
        <v>43</v>
      </c>
      <c r="H13" s="8" t="s">
        <v>44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45</v>
      </c>
      <c r="B14" s="8"/>
      <c r="C14" s="8"/>
      <c r="D14" s="12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 t="s">
        <v>46</v>
      </c>
      <c r="B15" s="8"/>
      <c r="C15" s="8"/>
      <c r="D15" s="9"/>
      <c r="E15" s="12"/>
      <c r="F15" s="8"/>
      <c r="G15" s="18" t="s">
        <v>47</v>
      </c>
      <c r="H15" s="8" t="s">
        <v>48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6" t="s">
        <v>49</v>
      </c>
      <c r="B16" s="6"/>
      <c r="C16" s="6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8" t="s">
        <v>50</v>
      </c>
      <c r="B17" s="8" t="s">
        <v>51</v>
      </c>
      <c r="C17" s="8" t="s">
        <v>52</v>
      </c>
      <c r="D17" s="9" t="s">
        <v>53</v>
      </c>
      <c r="E17" s="12"/>
      <c r="F17" s="8"/>
      <c r="G17" s="19" t="s">
        <v>54</v>
      </c>
      <c r="H17" s="8" t="s">
        <v>55</v>
      </c>
      <c r="I17" s="8"/>
      <c r="J17" s="8"/>
      <c r="K17" s="11">
        <v>0.005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 t="s">
        <v>56</v>
      </c>
      <c r="B18" s="6"/>
      <c r="C18" s="6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0" t="s">
        <v>57</v>
      </c>
      <c r="B19" s="20" t="s">
        <v>51</v>
      </c>
      <c r="C19" s="20" t="s">
        <v>58</v>
      </c>
      <c r="D19" s="21" t="s">
        <v>59</v>
      </c>
      <c r="E19" s="12"/>
      <c r="F19" s="8"/>
      <c r="G19" s="13" t="s">
        <v>60</v>
      </c>
      <c r="H19" s="20" t="s">
        <v>61</v>
      </c>
      <c r="I19" s="20"/>
      <c r="J19" s="20"/>
      <c r="K19" s="20">
        <f>5.62/1000</f>
        <v>0.00562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6" t="s">
        <v>62</v>
      </c>
      <c r="B20" s="6"/>
      <c r="C20" s="6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0" t="s">
        <v>63</v>
      </c>
      <c r="B21" s="20" t="s">
        <v>64</v>
      </c>
      <c r="C21" s="20" t="s">
        <v>65</v>
      </c>
      <c r="D21" s="22"/>
      <c r="E21" s="12"/>
      <c r="F21" s="8"/>
      <c r="G21" s="13" t="s">
        <v>66</v>
      </c>
      <c r="H21" s="20" t="s">
        <v>67</v>
      </c>
      <c r="I21" s="20"/>
      <c r="J21" s="20"/>
      <c r="K21" s="20">
        <f>30.78/1000</f>
        <v>0.03078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6" t="s">
        <v>68</v>
      </c>
      <c r="B22" s="6"/>
      <c r="C22" s="6"/>
      <c r="D22" s="7"/>
      <c r="E22" s="7"/>
      <c r="F22" s="6"/>
      <c r="G22" s="6"/>
      <c r="H22" s="6"/>
      <c r="I22" s="6"/>
      <c r="J22" s="6"/>
      <c r="K22" s="23">
        <v>0.027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 t="s">
        <v>69</v>
      </c>
      <c r="B23" s="6"/>
      <c r="C23" s="6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8"/>
      <c r="B24" s="8"/>
      <c r="C24" s="8"/>
      <c r="D24" s="12"/>
      <c r="E24" s="1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6" t="s">
        <v>70</v>
      </c>
      <c r="B25" s="6"/>
      <c r="C25" s="6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8"/>
      <c r="B26" s="8"/>
      <c r="C26" s="8"/>
      <c r="D26" s="12"/>
      <c r="E26" s="12"/>
      <c r="F26" s="8"/>
      <c r="G26" s="8"/>
      <c r="H26" s="8" t="s">
        <v>71</v>
      </c>
      <c r="I26" s="8"/>
      <c r="J26" s="8"/>
      <c r="K26" s="8">
        <f>40/1000</f>
        <v>0.04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6" t="s">
        <v>72</v>
      </c>
      <c r="B27" s="6"/>
      <c r="C27" s="6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8"/>
      <c r="B28" s="8"/>
      <c r="C28" s="8"/>
      <c r="D28" s="12"/>
      <c r="E28" s="12"/>
      <c r="F28" s="8"/>
      <c r="G28" s="8"/>
      <c r="H28" s="8" t="s">
        <v>73</v>
      </c>
      <c r="I28" s="8"/>
      <c r="J28" s="8"/>
      <c r="K28" s="8">
        <f>5*10/1000</f>
        <v>0.05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6" t="s">
        <v>74</v>
      </c>
      <c r="B29" s="6"/>
      <c r="C29" s="6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8" t="s">
        <v>75</v>
      </c>
      <c r="B30" s="8"/>
      <c r="C30" s="8"/>
      <c r="D30" s="12"/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8" t="s">
        <v>76</v>
      </c>
      <c r="B31" s="8"/>
      <c r="C31" s="8"/>
      <c r="D31" s="12"/>
      <c r="E31" s="1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12"/>
      <c r="E32" s="1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12"/>
      <c r="E33" s="1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12"/>
      <c r="E34" s="12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 t="s">
        <v>77</v>
      </c>
      <c r="B35" s="8">
        <v>1.0</v>
      </c>
      <c r="C35" s="24">
        <f>K3</f>
        <v>0.76</v>
      </c>
      <c r="D35" s="25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 t="s">
        <v>78</v>
      </c>
      <c r="B36" s="8">
        <v>1.0</v>
      </c>
      <c r="C36" s="24">
        <f>K5</f>
        <v>0.25</v>
      </c>
      <c r="D36" s="25"/>
      <c r="E36" s="1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 t="s">
        <v>79</v>
      </c>
      <c r="B37" s="8">
        <v>1.0</v>
      </c>
      <c r="C37" s="24">
        <f>K7</f>
        <v>0.205</v>
      </c>
      <c r="D37" s="25"/>
      <c r="E37" s="1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 t="s">
        <v>32</v>
      </c>
      <c r="B38" s="8">
        <v>4.0</v>
      </c>
      <c r="C38" s="24">
        <v>0.01</v>
      </c>
      <c r="D38" s="25"/>
      <c r="E38" s="1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 t="s">
        <v>80</v>
      </c>
      <c r="B39" s="8">
        <v>1.0</v>
      </c>
      <c r="C39" s="24">
        <f>K9</f>
        <v>0.0667</v>
      </c>
      <c r="D39" s="25"/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 t="s">
        <v>81</v>
      </c>
      <c r="B40" s="8">
        <v>1.0</v>
      </c>
      <c r="C40" s="24">
        <v>0.04</v>
      </c>
      <c r="D40" s="25"/>
      <c r="E40" s="12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 t="s">
        <v>82</v>
      </c>
      <c r="B41" s="26">
        <v>43840.0</v>
      </c>
      <c r="C41" s="24">
        <v>0.0</v>
      </c>
      <c r="D41" s="25"/>
      <c r="E41" s="12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 t="s">
        <v>83</v>
      </c>
      <c r="B42" s="26">
        <v>43840.0</v>
      </c>
      <c r="C42" s="24">
        <v>0.01</v>
      </c>
      <c r="D42" s="25"/>
      <c r="E42" s="1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 t="s">
        <v>84</v>
      </c>
      <c r="B43" s="26">
        <v>43840.0</v>
      </c>
      <c r="C43" s="24">
        <v>0.01</v>
      </c>
      <c r="D43" s="25"/>
      <c r="E43" s="1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7">
        <f>SUM(C35:C43)</f>
        <v>1.3517</v>
      </c>
      <c r="D44" s="12" t="s">
        <v>85</v>
      </c>
      <c r="E44" s="12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8" t="s">
        <v>86</v>
      </c>
      <c r="B45" s="8"/>
      <c r="C45" s="8"/>
      <c r="D45" s="12"/>
      <c r="E45" s="12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 t="s">
        <v>77</v>
      </c>
      <c r="B46" s="8">
        <v>1.0</v>
      </c>
      <c r="C46" s="29">
        <f>L3</f>
        <v>0.38</v>
      </c>
      <c r="D46" s="12"/>
      <c r="E46" s="12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 t="s">
        <v>78</v>
      </c>
      <c r="B47" s="8">
        <v>1.0</v>
      </c>
      <c r="C47" s="29">
        <v>0.0</v>
      </c>
      <c r="D47" s="12"/>
      <c r="E47" s="12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 t="s">
        <v>79</v>
      </c>
      <c r="B48" s="8">
        <v>1.0</v>
      </c>
      <c r="C48" s="29">
        <f>L7</f>
        <v>0.205</v>
      </c>
      <c r="D48" s="12"/>
      <c r="E48" s="1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 t="s">
        <v>32</v>
      </c>
      <c r="B49" s="8">
        <v>4.0</v>
      </c>
      <c r="C49" s="29">
        <v>0.02</v>
      </c>
      <c r="D49" s="12"/>
      <c r="E49" s="12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 t="s">
        <v>80</v>
      </c>
      <c r="B50" s="8">
        <v>1.0</v>
      </c>
      <c r="C50" s="29">
        <f>L9</f>
        <v>0.103385</v>
      </c>
      <c r="D50" s="12"/>
      <c r="E50" s="12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 t="s">
        <v>81</v>
      </c>
      <c r="B51" s="8">
        <v>1.0</v>
      </c>
      <c r="C51" s="29">
        <v>0.04</v>
      </c>
      <c r="D51" s="12"/>
      <c r="E51" s="12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 t="s">
        <v>82</v>
      </c>
      <c r="B52" s="26">
        <v>43840.0</v>
      </c>
      <c r="C52" s="29">
        <v>0.0</v>
      </c>
      <c r="D52" s="12"/>
      <c r="E52" s="12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 t="s">
        <v>83</v>
      </c>
      <c r="B53" s="26">
        <v>43840.0</v>
      </c>
      <c r="C53" s="29">
        <v>0.01</v>
      </c>
      <c r="D53" s="12"/>
      <c r="E53" s="1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 t="s">
        <v>84</v>
      </c>
      <c r="B54" s="26">
        <v>43840.0</v>
      </c>
      <c r="C54" s="29">
        <v>0.01</v>
      </c>
      <c r="D54" s="12"/>
      <c r="E54" s="12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7">
        <f>SUM(C46:C54)</f>
        <v>0.768385</v>
      </c>
      <c r="D55" s="12" t="s">
        <v>87</v>
      </c>
      <c r="E55" s="12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12"/>
      <c r="E56" s="12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8" t="s">
        <v>88</v>
      </c>
      <c r="B57" s="8"/>
      <c r="C57" s="8"/>
      <c r="D57" s="12"/>
      <c r="E57" s="1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 t="s">
        <v>89</v>
      </c>
      <c r="B58" s="8"/>
      <c r="C58" s="30">
        <f>K22</f>
        <v>0.027</v>
      </c>
      <c r="D58" s="12"/>
      <c r="E58" s="1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 t="s">
        <v>90</v>
      </c>
      <c r="B59" s="8"/>
      <c r="C59" s="30">
        <f>K26</f>
        <v>0.04</v>
      </c>
      <c r="D59" s="12"/>
      <c r="E59" s="12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 t="s">
        <v>91</v>
      </c>
      <c r="B60" s="8"/>
      <c r="C60" s="30">
        <f>K28</f>
        <v>0.05</v>
      </c>
      <c r="D60" s="12"/>
      <c r="E60" s="12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 t="s">
        <v>92</v>
      </c>
      <c r="B61" s="8"/>
      <c r="C61" s="30">
        <f>K19</f>
        <v>0.00562</v>
      </c>
      <c r="D61" s="12"/>
      <c r="E61" s="12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 t="s">
        <v>93</v>
      </c>
      <c r="B62" s="8"/>
      <c r="C62" s="30">
        <f>K17</f>
        <v>0.005</v>
      </c>
      <c r="D62" s="12"/>
      <c r="E62" s="12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 t="s">
        <v>94</v>
      </c>
      <c r="B63" s="8"/>
      <c r="C63" s="30">
        <f>K21</f>
        <v>0.03078</v>
      </c>
      <c r="D63" s="12"/>
      <c r="E63" s="1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 t="s">
        <v>95</v>
      </c>
      <c r="B64" s="8"/>
      <c r="C64" s="30">
        <f>25/1000</f>
        <v>0.025</v>
      </c>
      <c r="D64" s="12"/>
      <c r="E64" s="12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31">
        <f>SUM(C58:C64)</f>
        <v>0.1834</v>
      </c>
      <c r="D65" s="12" t="s">
        <v>96</v>
      </c>
      <c r="E65" s="12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30"/>
      <c r="D66" s="12"/>
      <c r="E66" s="1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32">
        <f>C44+C65</f>
        <v>1.5351</v>
      </c>
      <c r="D67" s="12" t="s">
        <v>97</v>
      </c>
      <c r="E67" s="12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30"/>
      <c r="D68" s="12"/>
      <c r="E68" s="1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32">
        <f>C55+C65</f>
        <v>0.951785</v>
      </c>
      <c r="D69" s="12" t="s">
        <v>98</v>
      </c>
      <c r="E69" s="12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12"/>
      <c r="E70" s="12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12"/>
      <c r="E71" s="12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12"/>
      <c r="E72" s="12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12"/>
      <c r="E73" s="1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12"/>
      <c r="E74" s="12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12"/>
      <c r="E75" s="1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12"/>
      <c r="E76" s="12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12"/>
      <c r="E77" s="12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12"/>
      <c r="E78" s="1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12"/>
      <c r="E79" s="12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12"/>
      <c r="E80" s="12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12"/>
      <c r="E81" s="12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12"/>
      <c r="E82" s="12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12"/>
      <c r="E83" s="1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12"/>
      <c r="E84" s="1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12"/>
      <c r="E85" s="12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12"/>
      <c r="E86" s="12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12"/>
      <c r="E87" s="12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12"/>
      <c r="E88" s="1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12"/>
      <c r="E89" s="12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12"/>
      <c r="E90" s="12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12"/>
      <c r="E91" s="12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12"/>
      <c r="E92" s="12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12"/>
      <c r="E93" s="1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12"/>
      <c r="E94" s="12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12"/>
      <c r="E95" s="12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12"/>
      <c r="E96" s="12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12"/>
      <c r="E97" s="12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12"/>
      <c r="E98" s="1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12"/>
      <c r="E99" s="12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12"/>
      <c r="E100" s="12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12"/>
      <c r="E101" s="12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12"/>
      <c r="E102" s="1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12"/>
      <c r="E103" s="1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12"/>
      <c r="E104" s="12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12"/>
      <c r="E105" s="12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12"/>
      <c r="E106" s="12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12"/>
      <c r="E107" s="12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12"/>
      <c r="E108" s="1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12"/>
      <c r="E109" s="12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12"/>
      <c r="E110" s="12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12"/>
      <c r="E111" s="1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12"/>
      <c r="E112" s="12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12"/>
      <c r="E113" s="1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12"/>
      <c r="E114" s="12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12"/>
      <c r="E115" s="12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12"/>
      <c r="E116" s="12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12"/>
      <c r="E117" s="12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12"/>
      <c r="E118" s="1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12"/>
      <c r="E119" s="12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12"/>
      <c r="E120" s="1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12"/>
      <c r="E121" s="12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12"/>
      <c r="E122" s="12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12"/>
      <c r="E123" s="1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12"/>
      <c r="E124" s="12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12"/>
      <c r="E125" s="12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12"/>
      <c r="E126" s="12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12"/>
      <c r="E127" s="12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12"/>
      <c r="E128" s="1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12"/>
      <c r="E129" s="1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12"/>
      <c r="E130" s="12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12"/>
      <c r="E131" s="12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12"/>
      <c r="E132" s="12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12"/>
      <c r="E133" s="1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12"/>
      <c r="E134" s="12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12"/>
      <c r="E135" s="12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12"/>
      <c r="E136" s="12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12"/>
      <c r="E137" s="12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12"/>
      <c r="E138" s="1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12"/>
      <c r="E139" s="12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12"/>
      <c r="E140" s="12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12"/>
      <c r="E141" s="12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12"/>
      <c r="E142" s="12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12"/>
      <c r="E143" s="1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12"/>
      <c r="E144" s="12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12"/>
      <c r="E145" s="12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12"/>
      <c r="E146" s="12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12"/>
      <c r="E147" s="1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12"/>
      <c r="E148" s="1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12"/>
      <c r="E149" s="12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12"/>
      <c r="E150" s="12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12"/>
      <c r="E151" s="12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12"/>
      <c r="E152" s="12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12"/>
      <c r="E153" s="1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12"/>
      <c r="E154" s="12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12"/>
      <c r="E155" s="12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12"/>
      <c r="E156" s="1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12"/>
      <c r="E157" s="12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12"/>
      <c r="E158" s="12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12"/>
      <c r="E159" s="12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12"/>
      <c r="E160" s="12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12"/>
      <c r="E161" s="12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12"/>
      <c r="E162" s="12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12"/>
      <c r="E163" s="12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12"/>
      <c r="E164" s="12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12"/>
      <c r="E165" s="1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12"/>
      <c r="E166" s="12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12"/>
      <c r="E167" s="12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12"/>
      <c r="E168" s="12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12"/>
      <c r="E169" s="12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12"/>
      <c r="E170" s="12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12"/>
      <c r="E171" s="12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12"/>
      <c r="E172" s="12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12"/>
      <c r="E173" s="12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12"/>
      <c r="E174" s="12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12"/>
      <c r="E175" s="1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12"/>
      <c r="E176" s="12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12"/>
      <c r="E177" s="12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12"/>
      <c r="E178" s="12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12"/>
      <c r="E179" s="12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12"/>
      <c r="E180" s="12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12"/>
      <c r="E181" s="12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12"/>
      <c r="E182" s="12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12"/>
      <c r="E183" s="12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12"/>
      <c r="E184" s="1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12"/>
      <c r="E185" s="12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12"/>
      <c r="E186" s="12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12"/>
      <c r="E187" s="12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12"/>
      <c r="E188" s="12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12"/>
      <c r="E189" s="12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12"/>
      <c r="E190" s="12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12"/>
      <c r="E191" s="12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12"/>
      <c r="E192" s="12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12"/>
      <c r="E193" s="1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12"/>
      <c r="E194" s="12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12"/>
      <c r="E195" s="12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12"/>
      <c r="E196" s="12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12"/>
      <c r="E197" s="12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12"/>
      <c r="E198" s="12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12"/>
      <c r="E199" s="12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12"/>
      <c r="E200" s="12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12"/>
      <c r="E201" s="12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12"/>
      <c r="E202" s="12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12"/>
      <c r="E203" s="1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12"/>
      <c r="E204" s="12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12"/>
      <c r="E205" s="12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12"/>
      <c r="E206" s="12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12"/>
      <c r="E207" s="12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12"/>
      <c r="E208" s="12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12"/>
      <c r="E209" s="12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12"/>
      <c r="E210" s="12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12"/>
      <c r="E211" s="12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12"/>
      <c r="E212" s="12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12"/>
      <c r="E213" s="1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12"/>
      <c r="E214" s="12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12"/>
      <c r="E215" s="12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12"/>
      <c r="E216" s="12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12"/>
      <c r="E217" s="12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12"/>
      <c r="E218" s="12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12"/>
      <c r="E219" s="12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12"/>
      <c r="E220" s="12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12"/>
      <c r="E221" s="12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12"/>
      <c r="E222" s="12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12"/>
      <c r="E223" s="1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12"/>
      <c r="E224" s="12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12"/>
      <c r="E225" s="12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12"/>
      <c r="E226" s="12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12"/>
      <c r="E227" s="12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12"/>
      <c r="E228" s="12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12"/>
      <c r="E229" s="12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12"/>
      <c r="E230" s="12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12"/>
      <c r="E231" s="12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12"/>
      <c r="E232" s="12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12"/>
      <c r="E233" s="1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12"/>
      <c r="E234" s="12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12"/>
      <c r="E235" s="12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12"/>
      <c r="E236" s="12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12"/>
      <c r="E237" s="12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12"/>
      <c r="E238" s="12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12"/>
      <c r="E239" s="12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12"/>
      <c r="E240" s="12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12"/>
      <c r="E241" s="12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12"/>
      <c r="E242" s="1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12"/>
      <c r="E243" s="12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12"/>
      <c r="E244" s="12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12"/>
      <c r="E245" s="12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12"/>
      <c r="E246" s="12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12"/>
      <c r="E247" s="12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12"/>
      <c r="E248" s="12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12"/>
      <c r="E249" s="12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12"/>
      <c r="E250" s="12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12"/>
      <c r="E251" s="1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12"/>
      <c r="E252" s="12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12"/>
      <c r="E253" s="12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12"/>
      <c r="E254" s="12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12"/>
      <c r="E255" s="12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12"/>
      <c r="E256" s="12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12"/>
      <c r="E257" s="12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12"/>
      <c r="E258" s="12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12"/>
      <c r="E259" s="12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12"/>
      <c r="E260" s="1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12"/>
      <c r="E261" s="12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12"/>
      <c r="E262" s="12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12"/>
      <c r="E263" s="12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12"/>
      <c r="E264" s="12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12"/>
      <c r="E265" s="12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12"/>
      <c r="E266" s="12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12"/>
      <c r="E267" s="12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12"/>
      <c r="E268" s="12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12"/>
      <c r="E269" s="12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:id="rId1" ref="G5"/>
    <hyperlink r:id="rId2" ref="G7"/>
    <hyperlink r:id="rId3" ref="G9"/>
    <hyperlink r:id="rId4" ref="G11"/>
    <hyperlink r:id="rId5" ref="G13"/>
    <hyperlink r:id="rId6" ref="G15"/>
    <hyperlink r:id="rId7" ref="G17"/>
    <hyperlink r:id="rId8" ref="D19"/>
    <hyperlink r:id="rId9" ref="G19"/>
    <hyperlink r:id="rId10" ref="G21"/>
    <hyperlink r:id="rId11" ref="A30"/>
    <hyperlink r:id="rId12" ref="A31"/>
  </hyperlinks>
  <drawing r:id="rId13"/>
</worksheet>
</file>